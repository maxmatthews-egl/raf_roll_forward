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enstargroup.sharepoint.com/sites/RiskTeam/Shared Documents/ERM Risk Folder/Group/Model Risk Management/CTAL/2026/2026 01 Update/0. Data/Python_and_sims/"/>
    </mc:Choice>
  </mc:AlternateContent>
  <xr:revisionPtr revIDLastSave="0" documentId="8_{4A55A8FB-60BB-4B6C-84CD-2816DEF72EB4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nsurance risk by portfolio" sheetId="5" r:id="rId1"/>
    <sheet name="market risk by subrisk" sheetId="3" r:id="rId2"/>
    <sheet name="total risk by subrisk" sheetId="4" r:id="rId3"/>
    <sheet name="reserve risk by CoB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" i="6" l="1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</calcChain>
</file>

<file path=xl/sharedStrings.xml><?xml version="1.0" encoding="utf-8"?>
<sst xmlns="http://schemas.openxmlformats.org/spreadsheetml/2006/main" count="107" uniqueCount="62">
  <si>
    <t>Insurance Currency Risk</t>
  </si>
  <si>
    <t>Insurance Interest Rate Risk</t>
  </si>
  <si>
    <t>Non-Insurance Currency Risk</t>
  </si>
  <si>
    <t>Interest Rate</t>
  </si>
  <si>
    <t>Spread</t>
  </si>
  <si>
    <t>Credit</t>
  </si>
  <si>
    <t>Migration Risk</t>
  </si>
  <si>
    <t>Default Risk</t>
  </si>
  <si>
    <t>Equity</t>
  </si>
  <si>
    <t>Total Market Risk</t>
  </si>
  <si>
    <t>Total Credit Risk</t>
  </si>
  <si>
    <t>Total Premium Risk</t>
  </si>
  <si>
    <t>Total Operational Risk</t>
  </si>
  <si>
    <t>atom_</t>
  </si>
  <si>
    <t>s3624</t>
  </si>
  <si>
    <t>s2008</t>
  </si>
  <si>
    <t>Interest Rate: Assets</t>
  </si>
  <si>
    <t>Operational Risk</t>
  </si>
  <si>
    <t>Premium Risk</t>
  </si>
  <si>
    <t>Credit Risk</t>
  </si>
  <si>
    <t>Market Risk</t>
  </si>
  <si>
    <t>Hiscox</t>
  </si>
  <si>
    <t>QBE</t>
  </si>
  <si>
    <t>Currency: Liabilities</t>
  </si>
  <si>
    <t>FX</t>
  </si>
  <si>
    <t>Credit &amp; Spread</t>
  </si>
  <si>
    <t>Modelled Class</t>
  </si>
  <si>
    <t>Mapped Class</t>
  </si>
  <si>
    <t>Entity Mapping</t>
  </si>
  <si>
    <t>LoB Mapping</t>
  </si>
  <si>
    <t>PI / D&amp;O</t>
  </si>
  <si>
    <t>Other</t>
  </si>
  <si>
    <t>General Casualty</t>
  </si>
  <si>
    <t>Short tail</t>
  </si>
  <si>
    <t>Marine Liability</t>
  </si>
  <si>
    <t>Medical Malpractice</t>
  </si>
  <si>
    <t>s0609</t>
  </si>
  <si>
    <t>Atrium</t>
  </si>
  <si>
    <t>atom_fin_inst</t>
  </si>
  <si>
    <t>atom_med_mal</t>
  </si>
  <si>
    <t>atom_prof_ind_do</t>
  </si>
  <si>
    <t>fin_inst</t>
  </si>
  <si>
    <t>fully_ceded</t>
  </si>
  <si>
    <t>gen_liab</t>
  </si>
  <si>
    <t>gen_st</t>
  </si>
  <si>
    <t>marine_liab</t>
  </si>
  <si>
    <t>med_mal</t>
  </si>
  <si>
    <t>med_mal_iph</t>
  </si>
  <si>
    <t>motor</t>
  </si>
  <si>
    <t>political_risk</t>
  </si>
  <si>
    <t>premium_risk</t>
  </si>
  <si>
    <t>prof_ind_do</t>
  </si>
  <si>
    <t>s0609_tacheron_gen_liab</t>
  </si>
  <si>
    <t>s0609_tacheron_xs_casualty</t>
  </si>
  <si>
    <t>s3624_eo_do_us</t>
  </si>
  <si>
    <t>s3624_gen_liab_us</t>
  </si>
  <si>
    <t>s3624_gen_lt</t>
  </si>
  <si>
    <t>s3624_gen_st</t>
  </si>
  <si>
    <t>s3624_total</t>
  </si>
  <si>
    <t>Property</t>
  </si>
  <si>
    <t>Total Insurance Risk</t>
  </si>
  <si>
    <t>Insurance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</si>
</sst>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AE4DE-699E-4CC4-82FB-AF1EBA15137C}">
  <dimension ref="A1:B4"/>
  <sheetViews>
    <sheetView zoomScale="145" zoomScaleNormal="145" workbookViewId="0">
      <selection activeCell="D12" sqref="D12"/>
    </sheetView>
  </sheetViews>
  <sheetFormatPr defaultRowHeight="15" x14ac:dyDescent="0.25"/>
  <cols>
    <col min="7" max="7" width="21.42578125" bestFit="1" customWidth="1"/>
  </cols>
  <sheetData>
    <row r="1" spans="1:2" x14ac:dyDescent="0.25">
      <c r="A1" t="s">
        <v>15</v>
      </c>
      <c r="B1" t="s">
        <v>15</v>
      </c>
    </row>
    <row r="2" spans="1:2" x14ac:dyDescent="0.25">
      <c r="A2" t="s">
        <v>14</v>
      </c>
      <c r="B2" t="s">
        <v>21</v>
      </c>
    </row>
    <row r="3" spans="1:2" x14ac:dyDescent="0.25">
      <c r="A3" t="s">
        <v>13</v>
      </c>
      <c r="B3" t="s">
        <v>22</v>
      </c>
    </row>
    <row r="4" spans="1:2" x14ac:dyDescent="0.25">
      <c r="A4" t="s">
        <v>36</v>
      </c>
      <c r="B4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D6EF6-3366-49C7-9B93-EA75E58C7331}">
  <dimension ref="A1:E10"/>
  <sheetViews>
    <sheetView showGridLines="0" zoomScale="175" zoomScaleNormal="175" workbookViewId="0">
      <selection activeCell="B10" sqref="B10"/>
    </sheetView>
  </sheetViews>
  <sheetFormatPr defaultRowHeight="15" x14ac:dyDescent="0.25"/>
  <cols>
    <col min="1" max="1" width="26.7109375" bestFit="1" customWidth="1"/>
    <col min="2" max="2" width="23.7109375" bestFit="1" customWidth="1"/>
  </cols>
  <sheetData>
    <row r="1" spans="1:5" x14ac:dyDescent="0.25">
      <c r="A1" t="s">
        <v>0</v>
      </c>
      <c r="B1" t="s">
        <v>24</v>
      </c>
      <c r="E1" t="s">
        <v>23</v>
      </c>
    </row>
    <row r="2" spans="1:5" x14ac:dyDescent="0.25">
      <c r="A2" t="s">
        <v>1</v>
      </c>
      <c r="B2" t="s">
        <v>3</v>
      </c>
      <c r="E2" t="s">
        <v>16</v>
      </c>
    </row>
    <row r="3" spans="1:5" x14ac:dyDescent="0.25">
      <c r="A3" t="s">
        <v>2</v>
      </c>
      <c r="B3" t="s">
        <v>24</v>
      </c>
    </row>
    <row r="4" spans="1:5" x14ac:dyDescent="0.25">
      <c r="A4" t="s">
        <v>3</v>
      </c>
      <c r="B4" t="s">
        <v>3</v>
      </c>
    </row>
    <row r="5" spans="1:5" x14ac:dyDescent="0.25">
      <c r="A5" t="s">
        <v>4</v>
      </c>
      <c r="B5" t="s">
        <v>25</v>
      </c>
    </row>
    <row r="6" spans="1:5" x14ac:dyDescent="0.25">
      <c r="A6" t="s">
        <v>5</v>
      </c>
      <c r="B6" t="s">
        <v>25</v>
      </c>
    </row>
    <row r="7" spans="1:5" x14ac:dyDescent="0.25">
      <c r="A7" t="s">
        <v>6</v>
      </c>
      <c r="B7" t="s">
        <v>25</v>
      </c>
    </row>
    <row r="8" spans="1:5" x14ac:dyDescent="0.25">
      <c r="A8" t="s">
        <v>7</v>
      </c>
      <c r="B8" t="s">
        <v>25</v>
      </c>
    </row>
    <row r="9" spans="1:5" x14ac:dyDescent="0.25">
      <c r="A9" t="s">
        <v>8</v>
      </c>
      <c r="B9" t="s">
        <v>8</v>
      </c>
    </row>
    <row r="10" spans="1:5" x14ac:dyDescent="0.25">
      <c r="A10" t="s">
        <v>59</v>
      </c>
      <c r="B10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6A28F-FB75-4327-A65C-F816BDA16946}">
  <dimension ref="A1:B5"/>
  <sheetViews>
    <sheetView tabSelected="1" zoomScale="160" zoomScaleNormal="160" workbookViewId="0">
      <selection activeCell="B3" sqref="B3"/>
    </sheetView>
  </sheetViews>
  <sheetFormatPr defaultRowHeight="15" x14ac:dyDescent="0.25"/>
  <cols>
    <col min="1" max="1" width="20.7109375" bestFit="1" customWidth="1"/>
  </cols>
  <sheetData>
    <row r="1" spans="1:2" x14ac:dyDescent="0.25">
      <c r="A1" t="s">
        <v>12</v>
      </c>
      <c r="B1" t="s">
        <v>17</v>
      </c>
    </row>
    <row r="2" spans="1:2" x14ac:dyDescent="0.25">
      <c r="A2" t="s">
        <v>60</v>
      </c>
      <c r="B2" t="s">
        <v>61</v>
      </c>
    </row>
    <row r="3" spans="1:2" x14ac:dyDescent="0.25">
      <c r="A3" t="s">
        <v>11</v>
      </c>
      <c r="B3" t="s">
        <v>18</v>
      </c>
    </row>
    <row r="4" spans="1:2" x14ac:dyDescent="0.25">
      <c r="A4" t="s">
        <v>10</v>
      </c>
      <c r="B4" t="s">
        <v>19</v>
      </c>
    </row>
    <row r="5" spans="1:2" x14ac:dyDescent="0.25">
      <c r="A5" t="s">
        <v>9</v>
      </c>
      <c r="B5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88CD8-8410-4FC8-9AA6-E99AE47BB2F9}">
  <dimension ref="A1:E22"/>
  <sheetViews>
    <sheetView workbookViewId="0"/>
  </sheetViews>
  <sheetFormatPr defaultRowHeight="15" x14ac:dyDescent="0.25"/>
  <cols>
    <col min="1" max="1" width="19.28515625" bestFit="1" customWidth="1"/>
    <col min="2" max="2" width="17" bestFit="1" customWidth="1"/>
    <col min="4" max="4" width="12.7109375" customWidth="1"/>
    <col min="5" max="5" width="17" bestFit="1" customWidth="1"/>
    <col min="8" max="8" width="21.7109375" bestFit="1" customWidth="1"/>
  </cols>
  <sheetData>
    <row r="1" spans="1:5" x14ac:dyDescent="0.25">
      <c r="A1" t="s">
        <v>26</v>
      </c>
      <c r="B1" t="s">
        <v>27</v>
      </c>
      <c r="D1" t="s">
        <v>28</v>
      </c>
      <c r="E1" t="s">
        <v>29</v>
      </c>
    </row>
    <row r="2" spans="1:5" x14ac:dyDescent="0.25">
      <c r="A2" t="s">
        <v>38</v>
      </c>
      <c r="B2" t="str">
        <f>E2</f>
        <v>PI / D&amp;O</v>
      </c>
      <c r="D2" t="s">
        <v>22</v>
      </c>
      <c r="E2" t="s">
        <v>30</v>
      </c>
    </row>
    <row r="3" spans="1:5" x14ac:dyDescent="0.25">
      <c r="A3" t="s">
        <v>39</v>
      </c>
      <c r="B3" t="str">
        <f t="shared" ref="B3:B22" si="0">E3</f>
        <v>Medical Malpractice</v>
      </c>
      <c r="D3" t="s">
        <v>22</v>
      </c>
      <c r="E3" t="s">
        <v>35</v>
      </c>
    </row>
    <row r="4" spans="1:5" x14ac:dyDescent="0.25">
      <c r="A4" t="s">
        <v>40</v>
      </c>
      <c r="B4" t="str">
        <f t="shared" si="0"/>
        <v>PI / D&amp;O</v>
      </c>
      <c r="D4" t="s">
        <v>22</v>
      </c>
      <c r="E4" t="s">
        <v>30</v>
      </c>
    </row>
    <row r="5" spans="1:5" x14ac:dyDescent="0.25">
      <c r="A5" t="s">
        <v>41</v>
      </c>
      <c r="B5" t="str">
        <f t="shared" si="0"/>
        <v>PI / D&amp;O</v>
      </c>
      <c r="D5" t="s">
        <v>15</v>
      </c>
      <c r="E5" t="s">
        <v>30</v>
      </c>
    </row>
    <row r="6" spans="1:5" x14ac:dyDescent="0.25">
      <c r="A6" t="s">
        <v>42</v>
      </c>
      <c r="B6" t="str">
        <f t="shared" si="0"/>
        <v>Other</v>
      </c>
      <c r="D6" t="s">
        <v>15</v>
      </c>
      <c r="E6" t="s">
        <v>31</v>
      </c>
    </row>
    <row r="7" spans="1:5" x14ac:dyDescent="0.25">
      <c r="A7" t="s">
        <v>43</v>
      </c>
      <c r="B7" t="str">
        <f t="shared" si="0"/>
        <v>General Casualty</v>
      </c>
      <c r="D7" t="s">
        <v>15</v>
      </c>
      <c r="E7" t="s">
        <v>32</v>
      </c>
    </row>
    <row r="8" spans="1:5" x14ac:dyDescent="0.25">
      <c r="A8" t="s">
        <v>44</v>
      </c>
      <c r="B8" t="str">
        <f t="shared" si="0"/>
        <v>Short tail</v>
      </c>
      <c r="D8" t="s">
        <v>15</v>
      </c>
      <c r="E8" t="s">
        <v>33</v>
      </c>
    </row>
    <row r="9" spans="1:5" x14ac:dyDescent="0.25">
      <c r="A9" t="s">
        <v>45</v>
      </c>
      <c r="B9" t="str">
        <f t="shared" si="0"/>
        <v>Marine Liability</v>
      </c>
      <c r="D9" t="s">
        <v>15</v>
      </c>
      <c r="E9" t="s">
        <v>34</v>
      </c>
    </row>
    <row r="10" spans="1:5" x14ac:dyDescent="0.25">
      <c r="A10" t="s">
        <v>46</v>
      </c>
      <c r="B10" t="str">
        <f t="shared" si="0"/>
        <v>Medical Malpractice</v>
      </c>
      <c r="D10" t="s">
        <v>15</v>
      </c>
      <c r="E10" t="s">
        <v>35</v>
      </c>
    </row>
    <row r="11" spans="1:5" x14ac:dyDescent="0.25">
      <c r="A11" t="s">
        <v>47</v>
      </c>
      <c r="B11" t="str">
        <f t="shared" si="0"/>
        <v>Medical Malpractice</v>
      </c>
      <c r="D11" t="s">
        <v>15</v>
      </c>
      <c r="E11" t="s">
        <v>35</v>
      </c>
    </row>
    <row r="12" spans="1:5" x14ac:dyDescent="0.25">
      <c r="A12" t="s">
        <v>48</v>
      </c>
      <c r="B12" t="str">
        <f t="shared" si="0"/>
        <v>Other</v>
      </c>
      <c r="D12" t="s">
        <v>15</v>
      </c>
      <c r="E12" t="s">
        <v>31</v>
      </c>
    </row>
    <row r="13" spans="1:5" x14ac:dyDescent="0.25">
      <c r="A13" t="s">
        <v>49</v>
      </c>
      <c r="B13" t="str">
        <f t="shared" si="0"/>
        <v>Other</v>
      </c>
      <c r="D13" t="s">
        <v>15</v>
      </c>
      <c r="E13" t="s">
        <v>31</v>
      </c>
    </row>
    <row r="14" spans="1:5" x14ac:dyDescent="0.25">
      <c r="A14" t="s">
        <v>50</v>
      </c>
      <c r="B14" t="str">
        <f t="shared" si="0"/>
        <v>Other</v>
      </c>
      <c r="D14" t="s">
        <v>15</v>
      </c>
      <c r="E14" t="s">
        <v>31</v>
      </c>
    </row>
    <row r="15" spans="1:5" x14ac:dyDescent="0.25">
      <c r="A15" t="s">
        <v>51</v>
      </c>
      <c r="B15" t="str">
        <f t="shared" si="0"/>
        <v>PI / D&amp;O</v>
      </c>
      <c r="D15" t="s">
        <v>15</v>
      </c>
      <c r="E15" t="s">
        <v>30</v>
      </c>
    </row>
    <row r="16" spans="1:5" x14ac:dyDescent="0.25">
      <c r="A16" t="s">
        <v>52</v>
      </c>
      <c r="B16" t="str">
        <f t="shared" si="0"/>
        <v>General Casualty</v>
      </c>
      <c r="D16" t="s">
        <v>36</v>
      </c>
      <c r="E16" t="s">
        <v>32</v>
      </c>
    </row>
    <row r="17" spans="1:5" x14ac:dyDescent="0.25">
      <c r="A17" t="s">
        <v>53</v>
      </c>
      <c r="B17" t="str">
        <f t="shared" si="0"/>
        <v>General Casualty</v>
      </c>
      <c r="D17" t="s">
        <v>36</v>
      </c>
      <c r="E17" t="s">
        <v>32</v>
      </c>
    </row>
    <row r="18" spans="1:5" x14ac:dyDescent="0.25">
      <c r="A18" t="s">
        <v>54</v>
      </c>
      <c r="B18" t="str">
        <f t="shared" si="0"/>
        <v>PI / D&amp;O</v>
      </c>
      <c r="D18" t="s">
        <v>14</v>
      </c>
      <c r="E18" t="s">
        <v>30</v>
      </c>
    </row>
    <row r="19" spans="1:5" x14ac:dyDescent="0.25">
      <c r="A19" t="s">
        <v>55</v>
      </c>
      <c r="B19" t="str">
        <f t="shared" si="0"/>
        <v>General Casualty</v>
      </c>
      <c r="D19" t="s">
        <v>14</v>
      </c>
      <c r="E19" t="s">
        <v>32</v>
      </c>
    </row>
    <row r="20" spans="1:5" x14ac:dyDescent="0.25">
      <c r="A20" t="s">
        <v>56</v>
      </c>
      <c r="B20" t="str">
        <f t="shared" si="0"/>
        <v>Short tail</v>
      </c>
      <c r="D20" t="s">
        <v>14</v>
      </c>
      <c r="E20" t="s">
        <v>33</v>
      </c>
    </row>
    <row r="21" spans="1:5" x14ac:dyDescent="0.25">
      <c r="A21" t="s">
        <v>57</v>
      </c>
      <c r="B21" t="str">
        <f t="shared" si="0"/>
        <v>PI / D&amp;O</v>
      </c>
      <c r="D21" t="s">
        <v>14</v>
      </c>
      <c r="E21" t="s">
        <v>30</v>
      </c>
    </row>
    <row r="22" spans="1:5" x14ac:dyDescent="0.25">
      <c r="A22" t="s">
        <v>58</v>
      </c>
      <c r="B22" t="str">
        <f t="shared" si="0"/>
        <v>Other</v>
      </c>
      <c r="D22" t="s">
        <v>14</v>
      </c>
      <c r="E22" t="s">
        <v>31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8062d0a-ad7a-4e5d-ad0f-60ef94b2ee66" xsi:nil="true"/>
    <Editdate xmlns="82c9d2a9-5692-48d4-9b0b-72242fe1df80" xsi:nil="true"/>
    <Status xmlns="82c9d2a9-5692-48d4-9b0b-72242fe1df80" xsi:nil="true"/>
    <lcf76f155ced4ddcb4097134ff3c332f xmlns="82c9d2a9-5692-48d4-9b0b-72242fe1df80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3F0557B09B7C4F86827681476A5AC5" ma:contentTypeVersion="19" ma:contentTypeDescription="Create a new document." ma:contentTypeScope="" ma:versionID="9b97e59ac76642be5ba7e29c29156a7f">
  <xsd:schema xmlns:xsd="http://www.w3.org/2001/XMLSchema" xmlns:xs="http://www.w3.org/2001/XMLSchema" xmlns:p="http://schemas.microsoft.com/office/2006/metadata/properties" xmlns:ns2="82c9d2a9-5692-48d4-9b0b-72242fe1df80" xmlns:ns3="1e994654-62b1-4275-ac25-92a9365190fb" xmlns:ns4="e8062d0a-ad7a-4e5d-ad0f-60ef94b2ee66" targetNamespace="http://schemas.microsoft.com/office/2006/metadata/properties" ma:root="true" ma:fieldsID="20ffd0d08c3cc9b420c0023316a988ac" ns2:_="" ns3:_="" ns4:_="">
    <xsd:import namespace="82c9d2a9-5692-48d4-9b0b-72242fe1df80"/>
    <xsd:import namespace="1e994654-62b1-4275-ac25-92a9365190fb"/>
    <xsd:import namespace="e8062d0a-ad7a-4e5d-ad0f-60ef94b2ee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Status" minOccurs="0"/>
                <xsd:element ref="ns2:Editdate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DateTak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c9d2a9-5692-48d4-9b0b-72242fe1df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6eff8d18-23b7-4a13-8ded-9a95c13eedf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Editdate" ma:index="21" nillable="true" ma:displayName="Edit date" ma:format="DateOnly" ma:internalName="Editdate">
      <xsd:simpleType>
        <xsd:restriction base="dms:DateTim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94654-62b1-4275-ac25-92a9365190f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062d0a-ad7a-4e5d-ad0f-60ef94b2ee6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011c5e5-e372-4251-9367-0acc2d750584}" ma:internalName="TaxCatchAll" ma:showField="CatchAllData" ma:web="1e994654-62b1-4275-ac25-92a9365190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55E660-CDCB-464D-89F6-8F748F2F3E7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DBD40FF-CCF2-4919-AD7B-5293359D59C6}">
  <ds:schemaRefs>
    <ds:schemaRef ds:uri="http://schemas.microsoft.com/office/2006/metadata/properties"/>
    <ds:schemaRef ds:uri="http://schemas.microsoft.com/office/infopath/2007/PartnerControls"/>
    <ds:schemaRef ds:uri="e8062d0a-ad7a-4e5d-ad0f-60ef94b2ee66"/>
    <ds:schemaRef ds:uri="82c9d2a9-5692-48d4-9b0b-72242fe1df80"/>
  </ds:schemaRefs>
</ds:datastoreItem>
</file>

<file path=customXml/itemProps3.xml><?xml version="1.0" encoding="utf-8"?>
<ds:datastoreItem xmlns:ds="http://schemas.openxmlformats.org/officeDocument/2006/customXml" ds:itemID="{CB873604-1592-401F-BBD9-61F0D657E71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insurance risk by portfolio</vt:lpstr>
      <vt:lpstr>market risk by subrisk</vt:lpstr>
      <vt:lpstr>total risk by subrisk</vt:lpstr>
      <vt:lpstr>reserve risk by CoB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Whittaker</dc:creator>
  <cp:lastModifiedBy>Max Matthews</cp:lastModifiedBy>
  <dcterms:created xsi:type="dcterms:W3CDTF">2015-06-05T18:17:20Z</dcterms:created>
  <dcterms:modified xsi:type="dcterms:W3CDTF">2026-02-13T16:38:46Z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0x010100AF3F0557B09B7C4F86827681476A5AC5</vt:lpwstr>
  </property>
  <property fmtid="{D5CDD505-2E9C-101B-9397-08002B2CF9AE}" pid="3" name="MediaServiceImageTags">
    <vt:lpwstr/>
  </property>
</Properties>
</file>